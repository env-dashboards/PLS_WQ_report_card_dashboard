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Regatta\"/>
    </mc:Choice>
  </mc:AlternateContent>
  <xr:revisionPtr revIDLastSave="0" documentId="13_ncr:1_{D70D1F55-7E82-4E7C-945A-B2958176B8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K8" i="1"/>
  <c r="D10" i="1"/>
  <c r="D11" i="1"/>
  <c r="D9" i="1"/>
</calcChain>
</file>

<file path=xl/sharedStrings.xml><?xml version="1.0" encoding="utf-8"?>
<sst xmlns="http://schemas.openxmlformats.org/spreadsheetml/2006/main" count="31" uniqueCount="25">
  <si>
    <t>Parameter</t>
  </si>
  <si>
    <t>Post-development</t>
  </si>
  <si>
    <t>Objective</t>
  </si>
  <si>
    <t>Status</t>
  </si>
  <si>
    <t>TN</t>
  </si>
  <si>
    <t>TP</t>
  </si>
  <si>
    <t>TSS</t>
  </si>
  <si>
    <t xml:space="preserve">Existing Load (kg/yr) </t>
  </si>
  <si>
    <t>Additional Load (kg/yr)</t>
  </si>
  <si>
    <t>%Increase</t>
  </si>
  <si>
    <t>0.7mg/L</t>
  </si>
  <si>
    <t>11.74mg/L</t>
  </si>
  <si>
    <t>25mg/L</t>
  </si>
  <si>
    <t>Does not meet</t>
  </si>
  <si>
    <t>meets</t>
  </si>
  <si>
    <t>Pre-development(median,max)</t>
  </si>
  <si>
    <t xml:space="preserve">Final Basin water quality </t>
  </si>
  <si>
    <t>F</t>
  </si>
  <si>
    <t>6mg/L,14mg/L</t>
  </si>
  <si>
    <t>0.03mg/L,0.14mg/L</t>
  </si>
  <si>
    <t>0.5mg/L,2.1mg/L</t>
  </si>
  <si>
    <t xml:space="preserve">INCREMENT VOLUME </t>
  </si>
  <si>
    <t>Δv=10.359375+2.25+3.62(ML)</t>
  </si>
  <si>
    <t>0.05µg/L</t>
  </si>
  <si>
    <t>25µg/L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</si>
</sst>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7" sqref="C7"/>
    </sheetView>
  </sheetViews>
  <sheetFormatPr defaultRowHeight="15" x14ac:dyDescent="0.25"/>
  <cols>
    <col min="1" max="1" width="15.85546875" customWidth="1"/>
    <col min="2" max="2" width="28" customWidth="1"/>
    <col min="3" max="3" width="31.28515625" customWidth="1"/>
    <col min="4" max="4" width="12.5703125" customWidth="1"/>
    <col min="5" max="5" width="17.42578125" customWidth="1"/>
    <col min="9" max="9" width="19.140625" customWidth="1"/>
    <col min="10" max="10" width="15.42578125" customWidth="1"/>
  </cols>
  <sheetData>
    <row r="1" spans="1:11" x14ac:dyDescent="0.25">
      <c r="A1" s="5" t="s">
        <v>16</v>
      </c>
      <c r="B1" s="5"/>
      <c r="C1" s="5"/>
      <c r="D1" s="5"/>
      <c r="E1" s="5"/>
    </row>
    <row r="2" spans="1:11" x14ac:dyDescent="0.25">
      <c r="A2" t="s">
        <v>0</v>
      </c>
      <c r="B2" t="s">
        <v>15</v>
      </c>
      <c r="C2" t="s">
        <v>1</v>
      </c>
      <c r="D2" t="s">
        <v>2</v>
      </c>
      <c r="E2" t="s">
        <v>3</v>
      </c>
    </row>
    <row r="3" spans="1:11" x14ac:dyDescent="0.25">
      <c r="A3" t="s">
        <v>4</v>
      </c>
      <c r="B3" t="s">
        <v>20</v>
      </c>
      <c r="C3" s="2" t="s">
        <v>17</v>
      </c>
      <c r="D3" t="s">
        <v>10</v>
      </c>
      <c r="E3" s="2" t="s">
        <v>13</v>
      </c>
    </row>
    <row r="4" spans="1:11" x14ac:dyDescent="0.25">
      <c r="A4" t="s">
        <v>5</v>
      </c>
      <c r="B4" t="s">
        <v>19</v>
      </c>
      <c r="C4" s="2" t="s">
        <v>23</v>
      </c>
      <c r="D4" t="s">
        <v>24</v>
      </c>
      <c r="E4" s="2" t="s">
        <v>13</v>
      </c>
    </row>
    <row r="5" spans="1:11" x14ac:dyDescent="0.25">
      <c r="A5" t="s">
        <v>6</v>
      </c>
      <c r="B5" t="s">
        <v>18</v>
      </c>
      <c r="C5" s="2" t="s">
        <v>11</v>
      </c>
      <c r="D5" t="s">
        <v>12</v>
      </c>
      <c r="E5" s="2" t="s">
        <v>14</v>
      </c>
    </row>
    <row r="8" spans="1:11" x14ac:dyDescent="0.25">
      <c r="A8" t="s">
        <v>0</v>
      </c>
      <c r="B8" t="s">
        <v>7</v>
      </c>
      <c r="C8" t="s">
        <v>8</v>
      </c>
      <c r="D8" t="s">
        <v>9</v>
      </c>
      <c r="E8" t="s">
        <v>9</v>
      </c>
      <c r="I8" t="s">
        <v>21</v>
      </c>
      <c r="J8" t="s">
        <v>22</v>
      </c>
      <c r="K8">
        <f>10.359375+2.25+3.62</f>
        <v>16.229375000000001</v>
      </c>
    </row>
    <row r="9" spans="1:11" x14ac:dyDescent="0.25">
      <c r="A9" t="s">
        <v>4</v>
      </c>
      <c r="B9" s="4">
        <v>27818</v>
      </c>
      <c r="C9" s="3">
        <v>6.6900000000000001E-2</v>
      </c>
      <c r="D9" s="1">
        <f>C9/B9</f>
        <v>2.4049176792005176E-6</v>
      </c>
      <c r="E9" s="1">
        <f>D9/C9</f>
        <v>3.5947947372205044E-5</v>
      </c>
    </row>
    <row r="10" spans="1:11" x14ac:dyDescent="0.25">
      <c r="A10" t="s">
        <v>5</v>
      </c>
      <c r="B10" s="4">
        <v>1403</v>
      </c>
      <c r="C10" s="3">
        <v>6.0800000000000003E-3</v>
      </c>
      <c r="D10" s="1">
        <f t="shared" ref="D10:E11" si="0">C10/B10</f>
        <v>4.3335709194583037E-6</v>
      </c>
      <c r="E10" s="1">
        <f t="shared" si="0"/>
        <v>7.1275837491090513E-4</v>
      </c>
    </row>
    <row r="11" spans="1:11" x14ac:dyDescent="0.25">
      <c r="A11" t="s">
        <v>6</v>
      </c>
      <c r="B11" s="4">
        <v>318177</v>
      </c>
      <c r="C11" s="3">
        <v>2.36</v>
      </c>
      <c r="D11" s="1">
        <f t="shared" si="0"/>
        <v>7.4172551755783726E-6</v>
      </c>
      <c r="E11" s="1">
        <f t="shared" si="0"/>
        <v>3.142904735414565E-6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2026-08-14T08:05:29Z</dcterms:modified>
</cp:coreProperties>
</file>