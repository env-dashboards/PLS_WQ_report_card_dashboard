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M:\OSL\004266-Castlereagh_development\In_Work\2Processing\1preprocessing\data\water_quality\Finalbasin\"/>
    </mc:Choice>
  </mc:AlternateContent>
  <xr:revisionPtr revIDLastSave="0" documentId="13_ncr:1_{D81DA880-A9EC-4635-BF8A-1424CBE2B801}" xr6:coauthVersionLast="47" xr6:coauthVersionMax="47" xr10:uidLastSave="{00000000-0000-0000-0000-000000000000}"/>
  <bookViews>
    <workbookView xWindow="30705" yWindow="1110" windowWidth="21600" windowHeight="1117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E11" i="1"/>
  <c r="E10" i="1"/>
  <c r="E9" i="1"/>
  <c r="K10" i="1"/>
  <c r="J10" i="1"/>
  <c r="I10" i="1"/>
  <c r="K8" i="1"/>
  <c r="J8" i="1"/>
  <c r="I8" i="1"/>
  <c r="K7" i="1"/>
  <c r="J7" i="1"/>
  <c r="I7" i="1"/>
  <c r="I12" i="1"/>
  <c r="I14" i="1"/>
  <c r="I17" i="1" l="1"/>
  <c r="K17" i="1"/>
  <c r="J17" i="1"/>
</calcChain>
</file>

<file path=xl/sharedStrings.xml><?xml version="1.0" encoding="utf-8"?>
<sst xmlns="http://schemas.openxmlformats.org/spreadsheetml/2006/main" count="54" uniqueCount="37">
  <si>
    <t>Parameter</t>
  </si>
  <si>
    <t>Objective</t>
  </si>
  <si>
    <t>Status</t>
  </si>
  <si>
    <t>TN</t>
  </si>
  <si>
    <t>TP</t>
  </si>
  <si>
    <t>TSS</t>
  </si>
  <si>
    <t>Additional Load (kg/yr)</t>
  </si>
  <si>
    <t>%Increase</t>
  </si>
  <si>
    <t>0.7mg/L</t>
  </si>
  <si>
    <t>1.08mg/L</t>
  </si>
  <si>
    <t>11.74mg/L</t>
  </si>
  <si>
    <t>25mg/L</t>
  </si>
  <si>
    <t>Does not meet</t>
  </si>
  <si>
    <t>meets</t>
  </si>
  <si>
    <t>Pre-development(median,max)</t>
  </si>
  <si>
    <t>0.6mg/L,1.6mg/L</t>
  </si>
  <si>
    <t>0.04mg/L,0.1mg/L</t>
  </si>
  <si>
    <t>0.05mg/L</t>
  </si>
  <si>
    <t>0.025mg/L</t>
  </si>
  <si>
    <t>9mg/L,25mg/L</t>
  </si>
  <si>
    <t xml:space="preserve">Final Basin water quality </t>
  </si>
  <si>
    <t>Post-development concentration</t>
  </si>
  <si>
    <t>Δm</t>
  </si>
  <si>
    <t>m</t>
  </si>
  <si>
    <t>(kg/y)</t>
  </si>
  <si>
    <t>Post-development(median)</t>
  </si>
  <si>
    <t>Δv</t>
  </si>
  <si>
    <t>(ML/y)</t>
  </si>
  <si>
    <t>V(median)</t>
  </si>
  <si>
    <t>C</t>
  </si>
  <si>
    <t>c(small table)</t>
  </si>
  <si>
    <t>m(small table)</t>
  </si>
  <si>
    <t>v(smalltable)</t>
  </si>
  <si>
    <t xml:space="preserve">Existing Annual Load (kg/yr) </t>
  </si>
  <si>
    <t>Chl-a</t>
  </si>
  <si>
    <t>N/A</t>
  </si>
  <si>
    <t xml:space="preserve">Total Mass (kg/yr)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</si>
</sst>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190500</xdr:colOff>
      <xdr:row>7</xdr:row>
      <xdr:rowOff>92075</xdr:rowOff>
    </xdr:from>
    <xdr:to>
      <xdr:col>19</xdr:col>
      <xdr:colOff>523703</xdr:colOff>
      <xdr:row>21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3D1DFB-3E8D-6AFC-BC3F-A5BA758C9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4275" y="1358900"/>
          <a:ext cx="5076653" cy="262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workbookViewId="0">
      <selection activeCell="C14" sqref="C14"/>
    </sheetView>
  </sheetViews>
  <sheetFormatPr defaultRowHeight="15" x14ac:dyDescent="0.25"/>
  <cols>
    <col min="1" max="1" width="15.85546875" customWidth="1"/>
    <col min="2" max="2" width="35" customWidth="1"/>
    <col min="3" max="3" width="25.5703125" customWidth="1"/>
    <col min="4" max="4" width="16.42578125" customWidth="1"/>
    <col min="5" max="5" width="17.42578125" customWidth="1"/>
    <col min="8" max="8" width="13.42578125" customWidth="1"/>
    <col min="14" max="14" width="15.5703125" customWidth="1"/>
  </cols>
  <sheetData>
    <row r="1" spans="1:16" x14ac:dyDescent="0.25">
      <c r="A1" s="1" t="s">
        <v>20</v>
      </c>
      <c r="B1" s="1"/>
      <c r="C1" s="1"/>
      <c r="D1" s="1"/>
      <c r="E1" s="1"/>
    </row>
    <row r="2" spans="1:16" x14ac:dyDescent="0.25">
      <c r="A2" t="s">
        <v>0</v>
      </c>
      <c r="B2" t="s">
        <v>14</v>
      </c>
      <c r="C2" t="s">
        <v>25</v>
      </c>
      <c r="D2" t="s">
        <v>1</v>
      </c>
      <c r="E2" t="s">
        <v>2</v>
      </c>
    </row>
    <row r="3" spans="1:16" x14ac:dyDescent="0.25">
      <c r="A3" t="s">
        <v>3</v>
      </c>
      <c r="B3" t="s">
        <v>15</v>
      </c>
      <c r="C3" s="2" t="s">
        <v>9</v>
      </c>
      <c r="D3" t="s">
        <v>8</v>
      </c>
      <c r="E3" t="s">
        <v>12</v>
      </c>
      <c r="I3" t="s">
        <v>21</v>
      </c>
    </row>
    <row r="4" spans="1:16" x14ac:dyDescent="0.25">
      <c r="A4" t="s">
        <v>4</v>
      </c>
      <c r="B4" t="s">
        <v>16</v>
      </c>
      <c r="C4" s="2" t="s">
        <v>17</v>
      </c>
      <c r="D4" t="s">
        <v>18</v>
      </c>
      <c r="E4" t="s">
        <v>12</v>
      </c>
      <c r="I4" t="s">
        <v>3</v>
      </c>
      <c r="J4" t="s">
        <v>4</v>
      </c>
      <c r="K4" t="s">
        <v>5</v>
      </c>
      <c r="L4" t="s">
        <v>24</v>
      </c>
    </row>
    <row r="5" spans="1:16" x14ac:dyDescent="0.25">
      <c r="A5" t="s">
        <v>5</v>
      </c>
      <c r="B5" t="s">
        <v>19</v>
      </c>
      <c r="C5" s="2" t="s">
        <v>10</v>
      </c>
      <c r="D5" t="s">
        <v>11</v>
      </c>
      <c r="E5" t="s">
        <v>13</v>
      </c>
    </row>
    <row r="6" spans="1:16" x14ac:dyDescent="0.25">
      <c r="H6" t="s">
        <v>31</v>
      </c>
      <c r="I6">
        <v>26.8</v>
      </c>
      <c r="J6">
        <v>2.4700000000000002</v>
      </c>
      <c r="K6">
        <v>947</v>
      </c>
      <c r="L6" t="s">
        <v>24</v>
      </c>
      <c r="N6" t="s">
        <v>32</v>
      </c>
      <c r="O6">
        <v>12.2</v>
      </c>
      <c r="P6" t="s">
        <v>27</v>
      </c>
    </row>
    <row r="7" spans="1:16" ht="16.5" x14ac:dyDescent="0.25">
      <c r="A7" s="3" t="s">
        <v>20</v>
      </c>
      <c r="B7" s="3"/>
      <c r="C7" s="3"/>
      <c r="D7" s="3"/>
      <c r="E7" s="3"/>
      <c r="H7" t="s">
        <v>30</v>
      </c>
      <c r="I7">
        <f>I6/O6</f>
        <v>2.1967213114754101</v>
      </c>
      <c r="J7">
        <f>J6/O6</f>
        <v>0.20245901639344266</v>
      </c>
      <c r="K7">
        <f>K6/O6</f>
        <v>77.622950819672141</v>
      </c>
    </row>
    <row r="8" spans="1:16" ht="16.5" x14ac:dyDescent="0.25">
      <c r="A8" s="4" t="s">
        <v>0</v>
      </c>
      <c r="B8" s="4" t="s">
        <v>33</v>
      </c>
      <c r="C8" s="4" t="s">
        <v>6</v>
      </c>
      <c r="D8" s="4" t="s">
        <v>36</v>
      </c>
      <c r="E8" s="5" t="s">
        <v>7</v>
      </c>
      <c r="H8" t="s">
        <v>22</v>
      </c>
      <c r="I8">
        <f>I7*I12</f>
        <v>6.6780327868852463E-2</v>
      </c>
      <c r="J8">
        <f>J7*I12</f>
        <v>6.1547540983606566E-3</v>
      </c>
      <c r="K8">
        <f>K7*I12</f>
        <v>2.3597377049180333</v>
      </c>
    </row>
    <row r="9" spans="1:16" ht="16.5" x14ac:dyDescent="0.25">
      <c r="A9" s="6" t="s">
        <v>3</v>
      </c>
      <c r="B9" s="6">
        <v>741</v>
      </c>
      <c r="C9" s="6">
        <v>6.6900000000000001E-2</v>
      </c>
      <c r="D9" s="7">
        <f>C9+B9</f>
        <v>741.06690000000003</v>
      </c>
      <c r="E9" s="8">
        <f>C9/B9</f>
        <v>9.0283400809716596E-5</v>
      </c>
      <c r="H9" t="s">
        <v>23</v>
      </c>
      <c r="I9">
        <v>722</v>
      </c>
      <c r="J9">
        <v>41.7</v>
      </c>
      <c r="K9">
        <v>8302</v>
      </c>
    </row>
    <row r="10" spans="1:16" ht="16.5" x14ac:dyDescent="0.25">
      <c r="A10" s="6" t="s">
        <v>4</v>
      </c>
      <c r="B10" s="6">
        <v>42.7</v>
      </c>
      <c r="C10" s="6">
        <v>6.0800000000000003E-3</v>
      </c>
      <c r="D10" s="7">
        <f>C10+B10</f>
        <v>42.70608</v>
      </c>
      <c r="E10" s="8">
        <f>C10/B10</f>
        <v>1.423887587822014E-4</v>
      </c>
      <c r="I10">
        <f>I8+I9</f>
        <v>722.06678032786886</v>
      </c>
      <c r="J10">
        <f>J9+J8</f>
        <v>41.706154754098364</v>
      </c>
      <c r="K10">
        <f>K9+K8</f>
        <v>8304.3597377049173</v>
      </c>
    </row>
    <row r="11" spans="1:16" ht="16.5" x14ac:dyDescent="0.25">
      <c r="A11" s="6" t="s">
        <v>5</v>
      </c>
      <c r="B11" s="6">
        <v>8514</v>
      </c>
      <c r="C11" s="6">
        <v>2.36</v>
      </c>
      <c r="D11" s="7">
        <f>C11+B11</f>
        <v>8516.36</v>
      </c>
      <c r="E11" s="8">
        <f>C11/B11</f>
        <v>2.7719050974864929E-4</v>
      </c>
    </row>
    <row r="12" spans="1:16" ht="16.5" x14ac:dyDescent="0.25">
      <c r="A12" s="6" t="s">
        <v>34</v>
      </c>
      <c r="B12" s="6" t="s">
        <v>35</v>
      </c>
      <c r="C12" s="6" t="s">
        <v>35</v>
      </c>
      <c r="D12" s="6" t="s">
        <v>35</v>
      </c>
      <c r="E12" s="6" t="s">
        <v>35</v>
      </c>
      <c r="H12" t="s">
        <v>26</v>
      </c>
      <c r="I12">
        <f>30.4*1000/1000000</f>
        <v>3.04E-2</v>
      </c>
      <c r="J12" t="s">
        <v>27</v>
      </c>
    </row>
    <row r="13" spans="1:16" x14ac:dyDescent="0.25">
      <c r="H13" t="s">
        <v>28</v>
      </c>
      <c r="I13">
        <v>80.358000000000004</v>
      </c>
    </row>
    <row r="14" spans="1:16" x14ac:dyDescent="0.25">
      <c r="I14">
        <f>I12+I13</f>
        <v>80.388400000000004</v>
      </c>
    </row>
    <row r="16" spans="1:16" x14ac:dyDescent="0.25">
      <c r="H16" t="s">
        <v>29</v>
      </c>
      <c r="I16" t="s">
        <v>3</v>
      </c>
      <c r="J16" t="s">
        <v>4</v>
      </c>
      <c r="K16" t="s">
        <v>5</v>
      </c>
    </row>
    <row r="17" spans="9:11" x14ac:dyDescent="0.25">
      <c r="I17">
        <f>I10/I14</f>
        <v>8.9822260466419142</v>
      </c>
      <c r="J17">
        <f>J10/I14</f>
        <v>0.51880812099878049</v>
      </c>
      <c r="K17">
        <f>K10/I14</f>
        <v>103.30296084640217</v>
      </c>
    </row>
  </sheetData>
  <mergeCells count="1">
    <mergeCell ref="A7:E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Karena Bai</dc:creator>
  <cp:lastModifiedBy>Karena Bai</cp:lastModifiedBy>
  <dcterms:created xsi:type="dcterms:W3CDTF">2015-06-05T18:19:34Z</dcterms:created>
  <dcterms:modified xsi:type="dcterms:W3CDTF">2026-08-14T07:48:17Z</dcterms:modified>
</cp:coreProperties>
</file>